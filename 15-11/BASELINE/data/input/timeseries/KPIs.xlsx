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ss\Desktop\"/>
    </mc:Choice>
  </mc:AlternateContent>
  <xr:revisionPtr revIDLastSave="0" documentId="13_ncr:1_{154DD88F-D928-46D3-81EA-EEFC340C20FA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Confronto Scenari Energeti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B21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B20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B22" i="1"/>
  <c r="F22" i="1"/>
  <c r="C22" i="1"/>
  <c r="D22" i="1"/>
  <c r="E22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D4" i="1"/>
  <c r="E4" i="1"/>
  <c r="F4" i="1"/>
  <c r="C4" i="1"/>
  <c r="B19" i="1"/>
</calcChain>
</file>

<file path=xl/sharedStrings.xml><?xml version="1.0" encoding="utf-8"?>
<sst xmlns="http://schemas.openxmlformats.org/spreadsheetml/2006/main" count="41" uniqueCount="41">
  <si>
    <t>index</t>
  </si>
  <si>
    <t>Baseline</t>
  </si>
  <si>
    <t>High PV</t>
  </si>
  <si>
    <t>PV + Battery 1</t>
  </si>
  <si>
    <t>PV + Battery 2</t>
  </si>
  <si>
    <t>PV + Battery 3</t>
  </si>
  <si>
    <t>Thermal COP1</t>
  </si>
  <si>
    <t>Thermal COP1 HP</t>
  </si>
  <si>
    <t>Thermal COP2</t>
  </si>
  <si>
    <t>Thermal COP3</t>
  </si>
  <si>
    <t>PV Generation (MWh)</t>
  </si>
  <si>
    <t>Load Elettrico (MWh)</t>
  </si>
  <si>
    <t>Load Termico (MWh_th)</t>
  </si>
  <si>
    <t>Import Elettrico (MWh)</t>
  </si>
  <si>
    <t>Import Termico (MWh_th)</t>
  </si>
  <si>
    <t>Export Elettrico (MWh)</t>
  </si>
  <si>
    <t>Costo Elettrico (€)</t>
  </si>
  <si>
    <t>Costo Termico (€)</t>
  </si>
  <si>
    <t>Ricavi Export (€)</t>
  </si>
  <si>
    <t>Costo Operativo Totale (€)</t>
  </si>
  <si>
    <t>Picco Elettrico (MW)</t>
  </si>
  <si>
    <t>Picco Termico (MW_th)</t>
  </si>
  <si>
    <t>Emissioni CO₂ Elettricità (t)</t>
  </si>
  <si>
    <t>Emissioni CO₂ Teleriscaldamento (t)</t>
  </si>
  <si>
    <t>Emissioni CO₂ Totali (t)</t>
  </si>
  <si>
    <t>Self-Consumption (%)</t>
  </si>
  <si>
    <t>DSM</t>
  </si>
  <si>
    <t>DSM_HP</t>
  </si>
  <si>
    <t>DSM_HP_el_priority</t>
  </si>
  <si>
    <t>DSM_HP_th_priority</t>
  </si>
  <si>
    <t>Self_Opt</t>
  </si>
  <si>
    <t>Self_Opt_HP</t>
  </si>
  <si>
    <t>Cost_Opt</t>
  </si>
  <si>
    <t>Cost_Opt_HP</t>
  </si>
  <si>
    <t>Future_Prices_Cost_Opt</t>
  </si>
  <si>
    <t>Future_Prices_Self_Opt</t>
  </si>
  <si>
    <t>Max PV Generation (MWh)</t>
  </si>
  <si>
    <t>Curtailment (MWh)</t>
  </si>
  <si>
    <t>Self-Sufficiency Elettrica (%)</t>
  </si>
  <si>
    <t>Self-Sufficiency Termica (%)</t>
  </si>
  <si>
    <t>Self-Sufficiency Totale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</si>
</sst>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rgb="FFFFFFFF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2" fillId="0" borderId="0" xfId="0" applyFont="1"/>
    <xf numFmtId="0" fontId="6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Self-Sufficiency (%) per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Energetici'!$B$19</c:f>
              <c:numCache>
                <c:formatCode>0.0</c:formatCode>
                <c:ptCount val="1"/>
                <c:pt idx="0">
                  <c:v>32.867774542209673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D-4818-A9EB-431F89A75F5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Energetici'!$C$19</c:f>
              <c:numCache>
                <c:formatCode>0.0</c:formatCode>
                <c:ptCount val="1"/>
                <c:pt idx="0">
                  <c:v>43.374297337949351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D-4818-A9EB-431F89A75F5D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Energetici'!$D$19</c:f>
              <c:numCache>
                <c:formatCode>0.0</c:formatCode>
                <c:ptCount val="1"/>
                <c:pt idx="0">
                  <c:v>54.663740974724988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ED-4818-A9EB-431F89A75F5D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Energetici'!$E$19</c:f>
              <c:numCache>
                <c:formatCode>0.0</c:formatCode>
                <c:ptCount val="1"/>
                <c:pt idx="0">
                  <c:v>61.620174828919133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ED-4818-A9EB-431F89A75F5D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Energetici'!$F$19</c:f>
              <c:numCache>
                <c:formatCode>0.0</c:formatCode>
                <c:ptCount val="1"/>
                <c:pt idx="0">
                  <c:v>63.190421173317233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ED-4818-A9EB-431F89A75F5D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Energetici'!$G$19</c:f>
              <c:numCache>
                <c:formatCode>0.0</c:formatCode>
                <c:ptCount val="1"/>
                <c:pt idx="0">
                  <c:v>38.683973112663487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ED-4818-A9EB-431F89A75F5D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Energetici'!$H$19</c:f>
              <c:numCache>
                <c:formatCode>0.0</c:formatCode>
                <c:ptCount val="1"/>
                <c:pt idx="0">
                  <c:v>-76.65778330614306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ED-4818-A9EB-431F89A75F5D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Energetici'!$I$19</c:f>
              <c:numCache>
                <c:formatCode>0.0</c:formatCode>
                <c:ptCount val="1"/>
                <c:pt idx="0">
                  <c:v>36.22369970256343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ED-4818-A9EB-431F89A75F5D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Energetici'!$J$19</c:f>
              <c:numCache>
                <c:formatCode>0.0</c:formatCode>
                <c:ptCount val="1"/>
                <c:pt idx="0">
                  <c:v>36.033440376331193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ED-4818-A9EB-431F89A75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Scenari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%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Self-Consumption (%) per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Energetici'!$B$22</c:f>
              <c:numCache>
                <c:formatCode>0.0</c:formatCode>
                <c:ptCount val="1"/>
                <c:pt idx="0">
                  <c:v>78.674120919899707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E-4D83-92FD-5D737943D5B1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Energetici'!$C$22</c:f>
              <c:numCache>
                <c:formatCode>0.0</c:formatCode>
                <c:ptCount val="1"/>
                <c:pt idx="0">
                  <c:v>47.671452651595793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AE-4D83-92FD-5D737943D5B1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Energetici'!$D$22</c:f>
              <c:numCache>
                <c:formatCode>0.0</c:formatCode>
                <c:ptCount val="1"/>
                <c:pt idx="0">
                  <c:v>60.708382912745677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AE-4D83-92FD-5D737943D5B1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Energetici'!$E$22</c:f>
              <c:numCache>
                <c:formatCode>0.0</c:formatCode>
                <c:ptCount val="1"/>
                <c:pt idx="0">
                  <c:v>68.641444609577306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AE-4D83-92FD-5D737943D5B1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Energetici'!$F$22</c:f>
              <c:numCache>
                <c:formatCode>0.0</c:formatCode>
                <c:ptCount val="1"/>
                <c:pt idx="0">
                  <c:v>70.458216904136222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AE-4D83-92FD-5D737943D5B1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Energetici'!$G$22</c:f>
              <c:numCache>
                <c:formatCode>0.0</c:formatCode>
                <c:ptCount val="1"/>
                <c:pt idx="0">
                  <c:v>94.123217130212538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AE-4D83-92FD-5D737943D5B1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Energetici'!$H$22</c:f>
              <c:numCache>
                <c:formatCode>0.0</c:formatCode>
                <c:ptCount val="1"/>
                <c:pt idx="0">
                  <c:v>93.7073792285791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AE-4D83-92FD-5D737943D5B1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Energetici'!$I$22</c:f>
              <c:numCache>
                <c:formatCode>0.0</c:formatCode>
                <c:ptCount val="1"/>
                <c:pt idx="0">
                  <c:v>99.429685073255797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AE-4D83-92FD-5D737943D5B1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Energetici'!$J$22</c:f>
              <c:numCache>
                <c:formatCode>0.0</c:formatCode>
                <c:ptCount val="1"/>
                <c:pt idx="0">
                  <c:v>95.359780325624229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AE-4D83-92FD-5D737943D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Scenari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%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/>
              <a:t>Emissioni CO₂ Totali (t) per 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Energetici'!$B$18</c:f>
              <c:numCache>
                <c:formatCode>0.0</c:formatCode>
                <c:ptCount val="1"/>
                <c:pt idx="0">
                  <c:v>61.930734342195223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C-46D3-8F5F-E1E9BEC9095A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Energetici'!$C$18</c:f>
              <c:numCache>
                <c:formatCode>0.0</c:formatCode>
                <c:ptCount val="1"/>
                <c:pt idx="0">
                  <c:v>60.592435532171777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C-46D3-8F5F-E1E9BEC9095A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Energetici'!$D$18</c:f>
              <c:numCache>
                <c:formatCode>0.0</c:formatCode>
                <c:ptCount val="1"/>
                <c:pt idx="0">
                  <c:v>59.154409909550928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1C-46D3-8F5F-E1E9BEC9095A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Energetici'!$E$18</c:f>
              <c:numCache>
                <c:formatCode>0.0</c:formatCode>
                <c:ptCount val="1"/>
                <c:pt idx="0">
                  <c:v>58.268313973714783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1C-46D3-8F5F-E1E9BEC9095A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Energetici'!$F$18</c:f>
              <c:numCache>
                <c:formatCode>0.0</c:formatCode>
                <c:ptCount val="1"/>
                <c:pt idx="0">
                  <c:v>58.068299291882667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1C-46D3-8F5F-E1E9BEC9095A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Energetici'!$G$18</c:f>
              <c:numCache>
                <c:formatCode>0.0</c:formatCode>
                <c:ptCount val="1"/>
                <c:pt idx="0">
                  <c:v>44.871386212922928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1C-46D3-8F5F-E1E9BEC9095A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Energetici'!$H$18</c:f>
              <c:numCache>
                <c:formatCode>0.0</c:formatCode>
                <c:ptCount val="1"/>
                <c:pt idx="0">
                  <c:v>29.71476230821774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1C-46D3-8F5F-E1E9BEC9095A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Energetici'!$I$18</c:f>
              <c:numCache>
                <c:formatCode>0.0</c:formatCode>
                <c:ptCount val="1"/>
                <c:pt idx="0">
                  <c:v>50.933770436915133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1C-46D3-8F5F-E1E9BEC9095A}"/>
            </c:ext>
          </c:extLst>
        </c:ser>
        <c:ser>
          <c:idx val="8"/>
          <c:order val="8"/>
          <c:spPr>
            <a:ln>
              <a:prstDash val="solid"/>
            </a:ln>
          </c:spPr>
          <c:invertIfNegative val="0"/>
          <c:cat>
            <c:strRef>
              <c:f>'Confronto Scenari Energetici'!$B$1:$J$1</c:f>
              <c:strCache>
                <c:ptCount val="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</c:strCache>
            </c:strRef>
          </c:cat>
          <c:val>
            <c:numRef>
              <c:f>'Confronto Scenari Energetici'!$J$18</c:f>
              <c:numCache>
                <c:formatCode>0.0</c:formatCode>
                <c:ptCount val="1"/>
                <c:pt idx="0">
                  <c:v>43.696693188198232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1C-46D3-8F5F-E1E9BEC90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it-IT"/>
                  <a:t>t CO₂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'Confronto Scenari Energetici'!$A$19</c:f>
              <c:strCache>
                <c:ptCount val="1"/>
                <c:pt idx="0">
                  <c:v>Self-Sufficiency Elettrica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Energetici'!$B$19:$T$19</c:f>
              <c:numCache>
                <c:formatCode>0.0</c:formatCode>
                <c:ptCount val="19"/>
                <c:pt idx="0">
                  <c:v>32.867774542209673</c:v>
                </c:pt>
                <c:pt idx="1">
                  <c:v>43.374297337949351</c:v>
                </c:pt>
                <c:pt idx="2">
                  <c:v>54.663740974724988</c:v>
                </c:pt>
                <c:pt idx="3">
                  <c:v>61.620174828919133</c:v>
                </c:pt>
                <c:pt idx="4">
                  <c:v>63.190421173317233</c:v>
                </c:pt>
                <c:pt idx="5">
                  <c:v>38.683973112663487</c:v>
                </c:pt>
                <c:pt idx="6">
                  <c:v>-76.65778330614306</c:v>
                </c:pt>
                <c:pt idx="7">
                  <c:v>36.22369970256343</c:v>
                </c:pt>
                <c:pt idx="8">
                  <c:v>36.033440376331193</c:v>
                </c:pt>
                <c:pt idx="9">
                  <c:v>21.673943324837889</c:v>
                </c:pt>
                <c:pt idx="10">
                  <c:v>-124.58289535002061</c:v>
                </c:pt>
                <c:pt idx="11">
                  <c:v>-105.2877935976516</c:v>
                </c:pt>
                <c:pt idx="12">
                  <c:v>-105.29383533804101</c:v>
                </c:pt>
                <c:pt idx="13">
                  <c:v>27.390321561681748</c:v>
                </c:pt>
                <c:pt idx="14">
                  <c:v>-105.2925752693473</c:v>
                </c:pt>
                <c:pt idx="15">
                  <c:v>3.8008699855266559</c:v>
                </c:pt>
                <c:pt idx="16">
                  <c:v>-147.41759721289691</c:v>
                </c:pt>
                <c:pt idx="17">
                  <c:v>-104.815282021206</c:v>
                </c:pt>
                <c:pt idx="18">
                  <c:v>-111.75135864980901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A-4691-A4C5-DD06ED02FEA8}"/>
            </c:ext>
          </c:extLst>
        </c:ser>
        <c:ser>
          <c:idx val="1"/>
          <c:order val="1"/>
          <c:tx>
            <c:strRef>
              <c:f>'Confronto Scenari Energetici'!$A$20</c:f>
              <c:strCache>
                <c:ptCount val="1"/>
                <c:pt idx="0">
                  <c:v>Self-Sufficiency Termica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A-4691-A4C5-DD06ED02FEA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DA-4691-A4C5-DD06ED02FEA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DA-4691-A4C5-DD06ED02FEA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0DA-4691-A4C5-DD06ED02FEA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0DA-4691-A4C5-DD06ED02FEA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Energetici'!$B$20:$T$20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30.570670058110078</c:v>
                </c:pt>
                <c:pt idx="6">
                  <c:v>86.488342783204985</c:v>
                </c:pt>
                <c:pt idx="7">
                  <c:v>19.800632943376375</c:v>
                </c:pt>
                <c:pt idx="8">
                  <c:v>33.403799379687023</c:v>
                </c:pt>
                <c:pt idx="9">
                  <c:v>37.732418906747107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37.732418906747107</c:v>
                </c:pt>
                <c:pt idx="14">
                  <c:v>100</c:v>
                </c:pt>
                <c:pt idx="15">
                  <c:v>37.732418906747107</c:v>
                </c:pt>
                <c:pt idx="16">
                  <c:v>100</c:v>
                </c:pt>
                <c:pt idx="17">
                  <c:v>100</c:v>
                </c:pt>
                <c:pt idx="18">
                  <c:v>85.3850161532539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A-4691-A4C5-DD06ED02FEA8}"/>
            </c:ext>
          </c:extLst>
        </c:ser>
        <c:ser>
          <c:idx val="2"/>
          <c:order val="2"/>
          <c:tx>
            <c:strRef>
              <c:f>'Confronto Scenari Energetici'!$A$21</c:f>
              <c:strCache>
                <c:ptCount val="1"/>
                <c:pt idx="0">
                  <c:v>Self-Sufficiency Totale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Energetici'!$B$21:$T$21</c:f>
              <c:numCache>
                <c:formatCode>0.0</c:formatCode>
                <c:ptCount val="19"/>
                <c:pt idx="0">
                  <c:v>4.0661307934101139</c:v>
                </c:pt>
                <c:pt idx="1">
                  <c:v>5.365911398165057</c:v>
                </c:pt>
                <c:pt idx="2">
                  <c:v>6.7625485313853124</c:v>
                </c:pt>
                <c:pt idx="3">
                  <c:v>7.6231413248077526</c:v>
                </c:pt>
                <c:pt idx="4">
                  <c:v>7.8173992903416627</c:v>
                </c:pt>
                <c:pt idx="5">
                  <c:v>31.574381196021832</c:v>
                </c:pt>
                <c:pt idx="6">
                  <c:v>66.305245620190647</c:v>
                </c:pt>
                <c:pt idx="7">
                  <c:v>21.832359715324444</c:v>
                </c:pt>
                <c:pt idx="8">
                  <c:v>33.729116940154555</c:v>
                </c:pt>
                <c:pt idx="9">
                  <c:v>35.745775731357035</c:v>
                </c:pt>
                <c:pt idx="10">
                  <c:v>72.216162481880147</c:v>
                </c:pt>
                <c:pt idx="11">
                  <c:v>74.603218589371721</c:v>
                </c:pt>
                <c:pt idx="12">
                  <c:v>74.602471147172068</c:v>
                </c:pt>
                <c:pt idx="13">
                  <c:v>36.452966383062972</c:v>
                </c:pt>
                <c:pt idx="14">
                  <c:v>74.602627034127707</c:v>
                </c:pt>
                <c:pt idx="15">
                  <c:v>33.534643112219136</c:v>
                </c:pt>
                <c:pt idx="16">
                  <c:v>69.39121160864434</c:v>
                </c:pt>
                <c:pt idx="17">
                  <c:v>74.66167444303295</c:v>
                </c:pt>
                <c:pt idx="18">
                  <c:v>60.996671716323135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A-4691-A4C5-DD06ED02FE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1931424"/>
        <c:axId val="1371926144"/>
      </c:barChart>
      <c:catAx>
        <c:axId val="13719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926144"/>
        <c:crosses val="autoZero"/>
        <c:auto val="1"/>
        <c:lblAlgn val="ctr"/>
        <c:lblOffset val="100"/>
        <c:noMultiLvlLbl val="0"/>
      </c:catAx>
      <c:valAx>
        <c:axId val="13719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19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'Confronto Scenari Energetici'!$A$16</c:f>
              <c:strCache>
                <c:ptCount val="1"/>
                <c:pt idx="0">
                  <c:v>Emissioni CO₂ Elettricità (t)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Energetici'!$B$16:$T$16</c:f>
              <c:numCache>
                <c:formatCode>0.0</c:formatCode>
                <c:ptCount val="19"/>
                <c:pt idx="0">
                  <c:v>8.5511619011398707</c:v>
                </c:pt>
                <c:pt idx="1">
                  <c:v>7.2128630911164207</c:v>
                </c:pt>
                <c:pt idx="2">
                  <c:v>5.7748374684955754</c:v>
                </c:pt>
                <c:pt idx="3">
                  <c:v>4.8887415326594228</c:v>
                </c:pt>
                <c:pt idx="4">
                  <c:v>4.6887268508273143</c:v>
                </c:pt>
                <c:pt idx="5">
                  <c:v>7.81030674125246</c:v>
                </c:pt>
                <c:pt idx="6">
                  <c:v>22.50229745619156</c:v>
                </c:pt>
                <c:pt idx="7">
                  <c:v>8.123691201656845</c:v>
                </c:pt>
                <c:pt idx="8">
                  <c:v>8.147926035087723</c:v>
                </c:pt>
                <c:pt idx="9">
                  <c:v>9.9770086145631325</c:v>
                </c:pt>
                <c:pt idx="10">
                  <c:v>28.606897585605392</c:v>
                </c:pt>
                <c:pt idx="11">
                  <c:v>26.149128044102309</c:v>
                </c:pt>
                <c:pt idx="12">
                  <c:v>26.14989762830546</c:v>
                </c:pt>
                <c:pt idx="13">
                  <c:v>9.2488683591482577</c:v>
                </c:pt>
                <c:pt idx="14">
                  <c:v>26.149737123401401</c:v>
                </c:pt>
                <c:pt idx="15">
                  <c:v>12.25364316307058</c:v>
                </c:pt>
                <c:pt idx="16">
                  <c:v>31.515533956024651</c:v>
                </c:pt>
                <c:pt idx="17">
                  <c:v>26.088940511768978</c:v>
                </c:pt>
                <c:pt idx="18">
                  <c:v>26.972443386959512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E-47D8-A04E-463DB1265B0D}"/>
            </c:ext>
          </c:extLst>
        </c:ser>
        <c:ser>
          <c:idx val="1"/>
          <c:order val="1"/>
          <c:tx>
            <c:strRef>
              <c:f>'Confronto Scenari Energetici'!$A$17</c:f>
              <c:strCache>
                <c:ptCount val="1"/>
                <c:pt idx="0">
                  <c:v>Emissioni CO₂ Teleriscaldamento (t)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Energetici'!$B$17:$T$17</c:f>
              <c:numCache>
                <c:formatCode>0.0</c:formatCode>
                <c:ptCount val="19"/>
                <c:pt idx="0">
                  <c:v>53.379572441055352</c:v>
                </c:pt>
                <c:pt idx="1">
                  <c:v>53.379572441055352</c:v>
                </c:pt>
                <c:pt idx="2">
                  <c:v>53.379572441055352</c:v>
                </c:pt>
                <c:pt idx="3">
                  <c:v>53.379572441055352</c:v>
                </c:pt>
                <c:pt idx="4">
                  <c:v>53.379572441055352</c:v>
                </c:pt>
                <c:pt idx="5">
                  <c:v>37.061079471670467</c:v>
                </c:pt>
                <c:pt idx="6">
                  <c:v>7.2124648520261756</c:v>
                </c:pt>
                <c:pt idx="7">
                  <c:v>42.810079235258279</c:v>
                </c:pt>
                <c:pt idx="8">
                  <c:v>35.548767153110497</c:v>
                </c:pt>
                <c:pt idx="9">
                  <c:v>33.237774751218801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33.237774751218808</c:v>
                </c:pt>
                <c:pt idx="14">
                  <c:v>0</c:v>
                </c:pt>
                <c:pt idx="15">
                  <c:v>33.916096684917143</c:v>
                </c:pt>
                <c:pt idx="16">
                  <c:v>0</c:v>
                </c:pt>
                <c:pt idx="17">
                  <c:v>0</c:v>
                </c:pt>
                <c:pt idx="18">
                  <c:v>7.9605341413921327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E-47D8-A04E-463DB1265B0D}"/>
            </c:ext>
          </c:extLst>
        </c:ser>
        <c:ser>
          <c:idx val="2"/>
          <c:order val="2"/>
          <c:tx>
            <c:strRef>
              <c:f>'Confronto Scenari Energetici'!$A$18</c:f>
              <c:strCache>
                <c:ptCount val="1"/>
                <c:pt idx="0">
                  <c:v>Emissioni CO₂ Totali (t)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Energetici'!$B$18:$T$18</c:f>
              <c:numCache>
                <c:formatCode>0.0</c:formatCode>
                <c:ptCount val="19"/>
                <c:pt idx="0">
                  <c:v>61.930734342195223</c:v>
                </c:pt>
                <c:pt idx="1">
                  <c:v>60.592435532171777</c:v>
                </c:pt>
                <c:pt idx="2">
                  <c:v>59.154409909550928</c:v>
                </c:pt>
                <c:pt idx="3">
                  <c:v>58.268313973714783</c:v>
                </c:pt>
                <c:pt idx="4">
                  <c:v>58.068299291882667</c:v>
                </c:pt>
                <c:pt idx="5">
                  <c:v>44.871386212922928</c:v>
                </c:pt>
                <c:pt idx="6">
                  <c:v>29.71476230821774</c:v>
                </c:pt>
                <c:pt idx="7">
                  <c:v>50.933770436915133</c:v>
                </c:pt>
                <c:pt idx="8">
                  <c:v>43.696693188198232</c:v>
                </c:pt>
                <c:pt idx="9">
                  <c:v>43.214783365781933</c:v>
                </c:pt>
                <c:pt idx="10">
                  <c:v>28.606897585605392</c:v>
                </c:pt>
                <c:pt idx="11">
                  <c:v>26.149128044102309</c:v>
                </c:pt>
                <c:pt idx="12">
                  <c:v>26.14989762830546</c:v>
                </c:pt>
                <c:pt idx="13">
                  <c:v>42.486643110367069</c:v>
                </c:pt>
                <c:pt idx="14">
                  <c:v>26.149737123401401</c:v>
                </c:pt>
                <c:pt idx="15">
                  <c:v>46.169739847987728</c:v>
                </c:pt>
                <c:pt idx="16">
                  <c:v>31.515533956024651</c:v>
                </c:pt>
                <c:pt idx="17">
                  <c:v>26.088940511768978</c:v>
                </c:pt>
                <c:pt idx="18">
                  <c:v>34.932977528351643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E-47D8-A04E-463DB1265B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005824"/>
        <c:axId val="1372006304"/>
      </c:barChart>
      <c:catAx>
        <c:axId val="13720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006304"/>
        <c:crosses val="autoZero"/>
        <c:auto val="1"/>
        <c:lblAlgn val="ctr"/>
        <c:lblOffset val="100"/>
        <c:noMultiLvlLbl val="0"/>
      </c:catAx>
      <c:valAx>
        <c:axId val="13720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0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8856653128530702E-2"/>
          <c:y val="7.4756427100212436E-2"/>
          <c:w val="0.92937535205531741"/>
          <c:h val="0.77607605805694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'Confronto Scenari Energetici'!$A$13</c:f>
              <c:strCache>
                <c:ptCount val="1"/>
                <c:pt idx="0">
                  <c:v>Costo Operativo Totale (€)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'Confronto Scenari Energetici'!$B$1:$T$1</c:f>
              <c:strCache>
                <c:ptCount val="19"/>
                <c:pt idx="0">
                  <c:v>Baseline</c:v>
                </c:pt>
                <c:pt idx="1">
                  <c:v>High PV</c:v>
                </c:pt>
                <c:pt idx="2">
                  <c:v>PV + Battery 1</c:v>
                </c:pt>
                <c:pt idx="3">
                  <c:v>PV + Battery 2</c:v>
                </c:pt>
                <c:pt idx="4">
                  <c:v>PV + Battery 3</c:v>
                </c:pt>
                <c:pt idx="5">
                  <c:v>Thermal COP1</c:v>
                </c:pt>
                <c:pt idx="6">
                  <c:v>Thermal COP1 HP</c:v>
                </c:pt>
                <c:pt idx="7">
                  <c:v>Thermal COP2</c:v>
                </c:pt>
                <c:pt idx="8">
                  <c:v>Thermal COP3</c:v>
                </c:pt>
                <c:pt idx="9">
                  <c:v>DSM</c:v>
                </c:pt>
                <c:pt idx="10">
                  <c:v>DSM_HP</c:v>
                </c:pt>
                <c:pt idx="11">
                  <c:v>DSM_HP_el_priority</c:v>
                </c:pt>
                <c:pt idx="12">
                  <c:v>DSM_HP_th_priority</c:v>
                </c:pt>
                <c:pt idx="13">
                  <c:v>Self_Opt</c:v>
                </c:pt>
                <c:pt idx="14">
                  <c:v>Self_Opt_HP</c:v>
                </c:pt>
                <c:pt idx="15">
                  <c:v>Cost_Opt</c:v>
                </c:pt>
                <c:pt idx="16">
                  <c:v>Cost_Opt_HP</c:v>
                </c:pt>
                <c:pt idx="17">
                  <c:v>Future_Prices_Self_Opt</c:v>
                </c:pt>
                <c:pt idx="18">
                  <c:v>Future_Prices_Cost_Opt</c:v>
                </c:pt>
              </c:strCache>
            </c:strRef>
          </c:cat>
          <c:val>
            <c:numRef>
              <c:f>'Confronto Scenari Energetici'!$B$13:$T$13</c:f>
              <c:numCache>
                <c:formatCode>0.0</c:formatCode>
                <c:ptCount val="19"/>
                <c:pt idx="0">
                  <c:v>127762.88453965449</c:v>
                </c:pt>
                <c:pt idx="1">
                  <c:v>113006.21061669321</c:v>
                </c:pt>
                <c:pt idx="2">
                  <c:v>109266.2505397442</c:v>
                </c:pt>
                <c:pt idx="3">
                  <c:v>108036.981792077</c:v>
                </c:pt>
                <c:pt idx="4">
                  <c:v>107830.2223145082</c:v>
                </c:pt>
                <c:pt idx="5">
                  <c:v>90915.771217088273</c:v>
                </c:pt>
                <c:pt idx="6">
                  <c:v>68055.219526705012</c:v>
                </c:pt>
                <c:pt idx="7">
                  <c:v>101951.39963329121</c:v>
                </c:pt>
                <c:pt idx="8">
                  <c:v>90019.201111051865</c:v>
                </c:pt>
                <c:pt idx="9">
                  <c:v>89206.9947626824</c:v>
                </c:pt>
                <c:pt idx="10">
                  <c:v>65949.560421431102</c:v>
                </c:pt>
                <c:pt idx="11">
                  <c:v>66683.683535905002</c:v>
                </c:pt>
                <c:pt idx="12">
                  <c:v>66742.14971518419</c:v>
                </c:pt>
                <c:pt idx="13">
                  <c:v>90272.807670499038</c:v>
                </c:pt>
                <c:pt idx="14">
                  <c:v>67180.343314386439</c:v>
                </c:pt>
                <c:pt idx="15">
                  <c:v>82337.061002041897</c:v>
                </c:pt>
                <c:pt idx="16">
                  <c:v>61107.73201348439</c:v>
                </c:pt>
                <c:pt idx="17">
                  <c:v>84057.547907099026</c:v>
                </c:pt>
                <c:pt idx="18">
                  <c:v>75079.411582306479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F-4333-B78F-493F9E27DF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2029344"/>
        <c:axId val="1372024064"/>
      </c:barChart>
      <c:catAx>
        <c:axId val="137202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024064"/>
        <c:crosses val="autoZero"/>
        <c:auto val="1"/>
        <c:lblAlgn val="ctr"/>
        <c:lblOffset val="100"/>
        <c:noMultiLvlLbl val="0"/>
      </c:catAx>
      <c:valAx>
        <c:axId val="137202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02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139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2</xdr:col>
      <xdr:colOff>2469674</xdr:colOff>
      <xdr:row>23</xdr:row>
      <xdr:rowOff>25400</xdr:rowOff>
    </xdr:from>
    <xdr:to>
      <xdr:col>5</xdr:col>
      <xdr:colOff>380048</xdr:colOff>
      <xdr:row>60</xdr:row>
      <xdr:rowOff>133986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AEE40CF-7A8C-1DFB-4B78-63217F508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943769</xdr:colOff>
      <xdr:row>22</xdr:row>
      <xdr:rowOff>124778</xdr:rowOff>
    </xdr:from>
    <xdr:to>
      <xdr:col>8</xdr:col>
      <xdr:colOff>2143125</xdr:colOff>
      <xdr:row>63</xdr:row>
      <xdr:rowOff>55563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57494CC-8174-41E0-BBE8-D1B57B520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3256439</xdr:colOff>
      <xdr:row>23</xdr:row>
      <xdr:rowOff>14605</xdr:rowOff>
    </xdr:from>
    <xdr:to>
      <xdr:col>11</xdr:col>
      <xdr:colOff>3381375</xdr:colOff>
      <xdr:row>60</xdr:row>
      <xdr:rowOff>71437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4130532-0C06-2A50-9B95-DFAD0A5E3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topLeftCell="I15" zoomScale="60" zoomScaleNormal="60" workbookViewId="0">
      <selection activeCell="T1" sqref="T1"/>
    </sheetView>
  </sheetViews>
  <sheetFormatPr defaultColWidth="51.88671875" defaultRowHeight="14.4" x14ac:dyDescent="0.3"/>
  <cols>
    <col min="1" max="1" width="51.88671875" style="7"/>
  </cols>
  <sheetData>
    <row r="1" spans="1:20" s="3" customFormat="1" ht="32.4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35</v>
      </c>
      <c r="T1" s="2" t="s">
        <v>34</v>
      </c>
    </row>
    <row r="2" spans="1:20" ht="23.4" x14ac:dyDescent="0.45">
      <c r="A2" s="6" t="s">
        <v>36</v>
      </c>
      <c r="B2" s="5">
        <v>94.193383934603602</v>
      </c>
      <c r="C2" s="5">
        <v>214.24478622249401</v>
      </c>
      <c r="D2" s="5">
        <v>214.24478622249401</v>
      </c>
      <c r="E2" s="5">
        <v>214.24478622249401</v>
      </c>
      <c r="F2" s="5">
        <v>214.24478622249401</v>
      </c>
      <c r="G2" s="5">
        <v>214.24478622249401</v>
      </c>
      <c r="H2" s="5">
        <v>214.24478622249401</v>
      </c>
      <c r="I2" s="5">
        <v>214.24478622249401</v>
      </c>
      <c r="J2" s="5">
        <v>214.24478622249401</v>
      </c>
      <c r="K2" s="5">
        <v>214.24478622249401</v>
      </c>
      <c r="L2" s="5">
        <v>214.24478622249401</v>
      </c>
      <c r="M2" s="5">
        <v>214.24478622249401</v>
      </c>
      <c r="N2" s="5">
        <v>214.24478622249401</v>
      </c>
      <c r="O2" s="5">
        <v>214.24478622249401</v>
      </c>
      <c r="P2" s="5">
        <v>214.24478622249401</v>
      </c>
      <c r="Q2" s="5">
        <v>214.24478622249401</v>
      </c>
      <c r="R2" s="5">
        <v>214.24478622249401</v>
      </c>
      <c r="S2" s="5">
        <v>214.24478622249401</v>
      </c>
      <c r="T2" s="5">
        <v>214.24478622249401</v>
      </c>
    </row>
    <row r="3" spans="1:20" ht="23.4" x14ac:dyDescent="0.45">
      <c r="A3" s="6" t="s">
        <v>10</v>
      </c>
      <c r="B3" s="1">
        <v>94.193383934603602</v>
      </c>
      <c r="C3" s="1">
        <v>213.96048592045901</v>
      </c>
      <c r="D3" s="1">
        <v>214.24478622249401</v>
      </c>
      <c r="E3" s="1">
        <v>214.24478622249401</v>
      </c>
      <c r="F3" s="1">
        <v>214.24478622249401</v>
      </c>
      <c r="G3" s="1">
        <v>214.24478622249421</v>
      </c>
      <c r="H3" s="1">
        <v>214.24478622249421</v>
      </c>
      <c r="I3" s="1">
        <v>214.24478622249421</v>
      </c>
      <c r="J3" s="1">
        <v>214.24478622249421</v>
      </c>
      <c r="K3" s="1">
        <v>214.24478622249421</v>
      </c>
      <c r="L3" s="1">
        <v>214.24478622249421</v>
      </c>
      <c r="M3" s="1">
        <v>214.24478622249421</v>
      </c>
      <c r="N3" s="1">
        <v>214.24478622249421</v>
      </c>
      <c r="O3" s="1">
        <v>203.27096648156041</v>
      </c>
      <c r="P3" s="1">
        <v>201.82832815651551</v>
      </c>
      <c r="Q3" s="1">
        <v>213.68635810260139</v>
      </c>
      <c r="R3" s="1">
        <v>212.40908650804329</v>
      </c>
      <c r="S3" s="1">
        <v>202.37065181251961</v>
      </c>
      <c r="T3" s="1">
        <v>212.93020621830451</v>
      </c>
    </row>
    <row r="4" spans="1:20" ht="23.4" x14ac:dyDescent="0.45">
      <c r="A4" s="6" t="s">
        <v>37</v>
      </c>
      <c r="B4" s="5">
        <v>0</v>
      </c>
      <c r="C4" s="1">
        <f>C2-C3</f>
        <v>0.28430030203500678</v>
      </c>
      <c r="D4" s="1">
        <f t="shared" ref="D4:F4" si="0">D2-D3</f>
        <v>0</v>
      </c>
      <c r="E4" s="1">
        <f t="shared" si="0"/>
        <v>0</v>
      </c>
      <c r="F4" s="1">
        <f t="shared" si="0"/>
        <v>0</v>
      </c>
      <c r="G4" s="1">
        <f t="shared" ref="G4" si="1">G2-G3</f>
        <v>0</v>
      </c>
      <c r="H4" s="1">
        <f t="shared" ref="H4" si="2">H2-H3</f>
        <v>0</v>
      </c>
      <c r="I4" s="1">
        <f t="shared" ref="I4" si="3">I2-I3</f>
        <v>0</v>
      </c>
      <c r="J4" s="1">
        <f t="shared" ref="J4" si="4">J2-J3</f>
        <v>0</v>
      </c>
      <c r="K4" s="1">
        <f t="shared" ref="K4" si="5">K2-K3</f>
        <v>0</v>
      </c>
      <c r="L4" s="1">
        <f t="shared" ref="L4" si="6">L2-L3</f>
        <v>0</v>
      </c>
      <c r="M4" s="1">
        <f t="shared" ref="M4" si="7">M2-M3</f>
        <v>0</v>
      </c>
      <c r="N4" s="1">
        <f t="shared" ref="N4" si="8">N2-N3</f>
        <v>0</v>
      </c>
      <c r="O4" s="1">
        <f t="shared" ref="O4" si="9">O2-O3</f>
        <v>10.973819740933607</v>
      </c>
      <c r="P4" s="1">
        <f t="shared" ref="P4" si="10">P2-P3</f>
        <v>12.416458065978503</v>
      </c>
      <c r="Q4" s="1">
        <f t="shared" ref="Q4" si="11">Q2-Q3</f>
        <v>0.55842811989262486</v>
      </c>
      <c r="R4" s="1">
        <f t="shared" ref="R4" si="12">R2-R3</f>
        <v>1.8356997144507261</v>
      </c>
      <c r="S4" s="1">
        <f t="shared" ref="S4" si="13">S2-S3</f>
        <v>11.874134409974403</v>
      </c>
      <c r="T4" s="1">
        <f t="shared" ref="T4" si="14">T2-T3</f>
        <v>1.3145800041895086</v>
      </c>
    </row>
    <row r="5" spans="1:20" ht="23.4" x14ac:dyDescent="0.45">
      <c r="A5" s="6" t="s">
        <v>11</v>
      </c>
      <c r="B5" s="1">
        <v>222.3</v>
      </c>
      <c r="C5" s="1">
        <v>222.3</v>
      </c>
      <c r="D5" s="1">
        <v>222.3</v>
      </c>
      <c r="E5" s="1">
        <v>222.3</v>
      </c>
      <c r="F5" s="1">
        <v>222.3</v>
      </c>
      <c r="G5" s="1">
        <v>222.3</v>
      </c>
      <c r="H5" s="1">
        <v>222.3</v>
      </c>
      <c r="I5" s="1">
        <v>222.3</v>
      </c>
      <c r="J5" s="1">
        <v>222.3</v>
      </c>
      <c r="K5" s="1">
        <v>222.3</v>
      </c>
      <c r="L5" s="1">
        <v>222.3</v>
      </c>
      <c r="M5" s="1">
        <v>222.3</v>
      </c>
      <c r="N5" s="1">
        <v>222.3</v>
      </c>
      <c r="O5" s="1">
        <v>222.3</v>
      </c>
      <c r="P5" s="1">
        <v>222.3</v>
      </c>
      <c r="Q5" s="1">
        <v>222.3</v>
      </c>
      <c r="R5" s="1">
        <v>222.3</v>
      </c>
      <c r="S5" s="1">
        <v>222.3</v>
      </c>
      <c r="T5" s="1">
        <v>222.3</v>
      </c>
    </row>
    <row r="6" spans="1:20" ht="23.4" x14ac:dyDescent="0.45">
      <c r="A6" s="6" t="s">
        <v>12</v>
      </c>
      <c r="B6" s="1">
        <v>1574.618656078329</v>
      </c>
      <c r="C6" s="1">
        <v>1574.618656078329</v>
      </c>
      <c r="D6" s="1">
        <v>1574.618656078329</v>
      </c>
      <c r="E6" s="1">
        <v>1574.618656078329</v>
      </c>
      <c r="F6" s="1">
        <v>1574.618656078329</v>
      </c>
      <c r="G6" s="1">
        <v>1574.618656078329</v>
      </c>
      <c r="H6" s="1">
        <v>1574.618656078329</v>
      </c>
      <c r="I6" s="1">
        <v>1574.618656078329</v>
      </c>
      <c r="J6" s="1">
        <v>1574.618656078329</v>
      </c>
      <c r="K6" s="1">
        <v>1574.6</v>
      </c>
      <c r="L6" s="1">
        <v>1574.6</v>
      </c>
      <c r="M6" s="1">
        <v>1574.6</v>
      </c>
      <c r="N6" s="1">
        <v>1574.6</v>
      </c>
      <c r="O6" s="1">
        <v>1574.6</v>
      </c>
      <c r="P6" s="1">
        <v>1574.6</v>
      </c>
      <c r="Q6" s="1">
        <v>1574.6</v>
      </c>
      <c r="R6" s="1">
        <v>1574.6</v>
      </c>
      <c r="S6" s="1">
        <v>1574.6</v>
      </c>
      <c r="T6" s="1">
        <v>1574.6</v>
      </c>
    </row>
    <row r="7" spans="1:20" ht="23.4" x14ac:dyDescent="0.45">
      <c r="A7" s="6" t="s">
        <v>13</v>
      </c>
      <c r="B7" s="1">
        <v>149.2349371926679</v>
      </c>
      <c r="C7" s="1">
        <v>125.87893701773859</v>
      </c>
      <c r="D7" s="1">
        <v>100.7825038131863</v>
      </c>
      <c r="E7" s="1">
        <v>85.318351355312799</v>
      </c>
      <c r="F7" s="1">
        <v>81.827693731715783</v>
      </c>
      <c r="G7" s="1">
        <v>136.30552777054899</v>
      </c>
      <c r="H7" s="1">
        <v>392.71025228955602</v>
      </c>
      <c r="I7" s="1">
        <v>141.7747155612015</v>
      </c>
      <c r="J7" s="1">
        <v>142.19766204341579</v>
      </c>
      <c r="K7" s="1">
        <v>174.1188239888854</v>
      </c>
      <c r="L7" s="1">
        <v>499.2477763630958</v>
      </c>
      <c r="M7" s="1">
        <v>456.3547651675795</v>
      </c>
      <c r="N7" s="1">
        <v>456.36819595646517</v>
      </c>
      <c r="O7" s="1">
        <v>161.41131516838149</v>
      </c>
      <c r="P7" s="1">
        <v>456.36539482375917</v>
      </c>
      <c r="Q7" s="1">
        <v>213.85066602217429</v>
      </c>
      <c r="R7" s="1">
        <v>550.00931860426977</v>
      </c>
      <c r="S7" s="1">
        <v>455.304371933141</v>
      </c>
      <c r="T7" s="1">
        <v>470.72327027852549</v>
      </c>
    </row>
    <row r="8" spans="1:20" ht="23.4" x14ac:dyDescent="0.45">
      <c r="A8" s="6" t="s">
        <v>14</v>
      </c>
      <c r="B8" s="1">
        <v>1574.618656078329</v>
      </c>
      <c r="C8" s="1">
        <v>1574.618656078329</v>
      </c>
      <c r="D8" s="1">
        <v>1574.618656078329</v>
      </c>
      <c r="E8" s="1">
        <v>1574.618656078329</v>
      </c>
      <c r="F8" s="1">
        <v>1574.618656078329</v>
      </c>
      <c r="G8" s="1">
        <v>1093.2471820551759</v>
      </c>
      <c r="H8" s="1">
        <v>212.7570752810081</v>
      </c>
      <c r="I8" s="1">
        <v>1262.834195730333</v>
      </c>
      <c r="J8" s="1">
        <v>1048.6361992068</v>
      </c>
      <c r="K8" s="1">
        <v>980.46533189436002</v>
      </c>
      <c r="L8" s="1">
        <v>0</v>
      </c>
      <c r="M8" s="1">
        <v>0</v>
      </c>
      <c r="N8" s="1">
        <v>0</v>
      </c>
      <c r="O8" s="1">
        <v>980.46533189436002</v>
      </c>
      <c r="P8" s="1">
        <v>0</v>
      </c>
      <c r="Q8" s="1">
        <v>980.46533189436002</v>
      </c>
      <c r="R8" s="1">
        <v>0</v>
      </c>
      <c r="S8" s="1">
        <v>0</v>
      </c>
      <c r="T8" s="1">
        <v>230.12753565086399</v>
      </c>
    </row>
    <row r="9" spans="1:20" ht="23.4" x14ac:dyDescent="0.45">
      <c r="A9" s="6" t="s">
        <v>15</v>
      </c>
      <c r="B9" s="1">
        <v>20.08756715934819</v>
      </c>
      <c r="C9" s="1">
        <v>111.6781138797281</v>
      </c>
      <c r="D9" s="1">
        <v>84.180241031948967</v>
      </c>
      <c r="E9" s="1">
        <v>67.184069958673476</v>
      </c>
      <c r="F9" s="1">
        <v>63.291730040046261</v>
      </c>
      <c r="G9" s="1">
        <v>12.590700896136291</v>
      </c>
      <c r="H9" s="1">
        <v>13.481611919522971</v>
      </c>
      <c r="I9" s="1">
        <v>1.2218699955980989</v>
      </c>
      <c r="J9" s="1">
        <v>9.9414287216205075</v>
      </c>
      <c r="K9" s="1">
        <v>24.29521516008041</v>
      </c>
      <c r="L9" s="1">
        <v>53.622928538474639</v>
      </c>
      <c r="M9" s="1">
        <v>7.3304181391657597</v>
      </c>
      <c r="N9" s="1">
        <v>6.7350836108853294</v>
      </c>
      <c r="O9" s="1">
        <v>0</v>
      </c>
      <c r="P9" s="1">
        <v>0</v>
      </c>
      <c r="Q9" s="1">
        <v>49.382927896784793</v>
      </c>
      <c r="R9" s="1">
        <v>83.393756431209638</v>
      </c>
      <c r="S9" s="1">
        <v>0</v>
      </c>
      <c r="T9" s="1">
        <v>78.059957457947846</v>
      </c>
    </row>
    <row r="10" spans="1:20" ht="23.4" x14ac:dyDescent="0.45">
      <c r="A10" s="6" t="s">
        <v>16</v>
      </c>
      <c r="B10" s="1">
        <v>28631.373289681011</v>
      </c>
      <c r="C10" s="1">
        <v>24462.80829817801</v>
      </c>
      <c r="D10" s="1">
        <v>17243.389043175561</v>
      </c>
      <c r="E10" s="1">
        <v>14215.872948828421</v>
      </c>
      <c r="F10" s="1">
        <v>13471.30281603474</v>
      </c>
      <c r="G10" s="1">
        <v>21833.301220730871</v>
      </c>
      <c r="H10" s="1">
        <v>55618.102034064301</v>
      </c>
      <c r="I10" s="1">
        <v>20772.696540910041</v>
      </c>
      <c r="J10" s="1">
        <v>23572.800144043271</v>
      </c>
      <c r="K10" s="1">
        <v>28050.15039807362</v>
      </c>
      <c r="L10" s="1">
        <v>69955.570208689795</v>
      </c>
      <c r="M10" s="1">
        <v>67180.346707996796</v>
      </c>
      <c r="N10" s="1">
        <v>67180.36598179354</v>
      </c>
      <c r="O10" s="1">
        <v>27186.566475119849</v>
      </c>
      <c r="P10" s="1">
        <v>67180.343314386439</v>
      </c>
      <c r="Q10" s="1">
        <v>24863.997272892801</v>
      </c>
      <c r="R10" s="1">
        <v>73554.949454718473</v>
      </c>
      <c r="S10" s="1">
        <v>84057.547907099026</v>
      </c>
      <c r="T10" s="1">
        <v>75437.823927316553</v>
      </c>
    </row>
    <row r="11" spans="1:20" ht="23.4" x14ac:dyDescent="0.45">
      <c r="A11" s="6" t="s">
        <v>17</v>
      </c>
      <c r="B11" s="1">
        <v>101315.94570118291</v>
      </c>
      <c r="C11" s="1">
        <v>101315.94570118291</v>
      </c>
      <c r="D11" s="1">
        <v>101315.94570118291</v>
      </c>
      <c r="E11" s="1">
        <v>101315.94570118291</v>
      </c>
      <c r="F11" s="1">
        <v>101315.94570118291</v>
      </c>
      <c r="G11" s="1">
        <v>70342.982224620355</v>
      </c>
      <c r="H11" s="1">
        <v>13689.463289097999</v>
      </c>
      <c r="I11" s="1">
        <v>81254.747179781174</v>
      </c>
      <c r="J11" s="1">
        <v>67472.570459527138</v>
      </c>
      <c r="K11" s="1">
        <v>63086.241195379203</v>
      </c>
      <c r="L11" s="1">
        <v>0</v>
      </c>
      <c r="M11" s="1">
        <v>0</v>
      </c>
      <c r="N11" s="1">
        <v>0</v>
      </c>
      <c r="O11" s="1">
        <v>63086.241195379189</v>
      </c>
      <c r="P11" s="1">
        <v>0</v>
      </c>
      <c r="Q11" s="1">
        <v>64373.715505488974</v>
      </c>
      <c r="R11" s="1">
        <v>0</v>
      </c>
      <c r="S11" s="1">
        <v>0</v>
      </c>
      <c r="T11" s="1">
        <v>15109.32006269462</v>
      </c>
    </row>
    <row r="12" spans="1:20" ht="23.4" x14ac:dyDescent="0.45">
      <c r="A12" s="6" t="s">
        <v>18</v>
      </c>
      <c r="B12" s="1">
        <v>2184.4344512094199</v>
      </c>
      <c r="C12" s="1">
        <v>12772.543382667711</v>
      </c>
      <c r="D12" s="1">
        <v>9293.0842046143152</v>
      </c>
      <c r="E12" s="1">
        <v>7494.8368579343751</v>
      </c>
      <c r="F12" s="1">
        <v>6957.0262027094795</v>
      </c>
      <c r="G12" s="1">
        <v>1260.512228262945</v>
      </c>
      <c r="H12" s="1">
        <v>1252.3457964572881</v>
      </c>
      <c r="I12" s="1">
        <v>76.044087399986296</v>
      </c>
      <c r="J12" s="1">
        <v>1026.1694925185409</v>
      </c>
      <c r="K12" s="1">
        <v>1929.396830770437</v>
      </c>
      <c r="L12" s="1">
        <v>4006.0097872586989</v>
      </c>
      <c r="M12" s="1">
        <v>496.66317209179738</v>
      </c>
      <c r="N12" s="1">
        <v>438.21626660935311</v>
      </c>
      <c r="O12" s="1">
        <v>0</v>
      </c>
      <c r="P12" s="1">
        <v>0</v>
      </c>
      <c r="Q12" s="1">
        <v>6900.6517763398724</v>
      </c>
      <c r="R12" s="1">
        <v>12447.217441234079</v>
      </c>
      <c r="S12" s="1">
        <v>0</v>
      </c>
      <c r="T12" s="1">
        <v>15467.732407704691</v>
      </c>
    </row>
    <row r="13" spans="1:20" ht="23.4" x14ac:dyDescent="0.45">
      <c r="A13" s="6" t="s">
        <v>19</v>
      </c>
      <c r="B13" s="1">
        <v>127762.88453965449</v>
      </c>
      <c r="C13" s="1">
        <v>113006.21061669321</v>
      </c>
      <c r="D13" s="1">
        <v>109266.2505397442</v>
      </c>
      <c r="E13" s="1">
        <v>108036.981792077</v>
      </c>
      <c r="F13" s="1">
        <v>107830.2223145082</v>
      </c>
      <c r="G13" s="1">
        <v>90915.771217088273</v>
      </c>
      <c r="H13" s="1">
        <v>68055.219526705012</v>
      </c>
      <c r="I13" s="1">
        <v>101951.39963329121</v>
      </c>
      <c r="J13" s="1">
        <v>90019.201111051865</v>
      </c>
      <c r="K13" s="1">
        <v>89206.9947626824</v>
      </c>
      <c r="L13" s="1">
        <v>65949.560421431102</v>
      </c>
      <c r="M13" s="1">
        <v>66683.683535905002</v>
      </c>
      <c r="N13" s="1">
        <v>66742.14971518419</v>
      </c>
      <c r="O13" s="1">
        <v>90272.807670499038</v>
      </c>
      <c r="P13" s="1">
        <v>67180.343314386439</v>
      </c>
      <c r="Q13" s="1">
        <v>82337.061002041897</v>
      </c>
      <c r="R13" s="1">
        <v>61107.73201348439</v>
      </c>
      <c r="S13" s="1">
        <v>84057.547907099026</v>
      </c>
      <c r="T13" s="1">
        <v>75079.411582306479</v>
      </c>
    </row>
    <row r="14" spans="1:20" ht="23.4" x14ac:dyDescent="0.45">
      <c r="A14" s="6" t="s">
        <v>20</v>
      </c>
      <c r="B14" s="1">
        <v>5.3497678443599997E-2</v>
      </c>
      <c r="C14" s="1">
        <v>5.3497678443599997E-2</v>
      </c>
      <c r="D14" s="1">
        <v>5.3497678443599997E-2</v>
      </c>
      <c r="E14" s="1">
        <v>5.3497678443599997E-2</v>
      </c>
      <c r="F14" s="1">
        <v>5.3497678443599997E-2</v>
      </c>
      <c r="G14" s="1">
        <v>5.3497678443599997E-2</v>
      </c>
      <c r="H14" s="1">
        <v>0.245</v>
      </c>
      <c r="I14" s="1">
        <v>5.3497678443599997E-2</v>
      </c>
      <c r="J14" s="1">
        <v>5.3497678443599997E-2</v>
      </c>
      <c r="K14" s="1">
        <v>4.8524975225899998E-2</v>
      </c>
      <c r="L14" s="1">
        <v>0.245</v>
      </c>
      <c r="M14" s="1">
        <v>0.245</v>
      </c>
      <c r="N14" s="1">
        <v>0.245</v>
      </c>
      <c r="O14" s="1">
        <v>4.8524975225899998E-2</v>
      </c>
      <c r="P14" s="1">
        <v>0.245</v>
      </c>
      <c r="Q14" s="1">
        <v>4.8524975225899998E-2</v>
      </c>
      <c r="R14" s="1">
        <v>0.245</v>
      </c>
      <c r="S14" s="1">
        <v>0.245</v>
      </c>
      <c r="T14" s="1">
        <v>0.245</v>
      </c>
    </row>
    <row r="15" spans="1:20" ht="23.4" x14ac:dyDescent="0.45">
      <c r="A15" s="6" t="s">
        <v>21</v>
      </c>
      <c r="B15" s="1">
        <v>0.44136613327000002</v>
      </c>
      <c r="C15" s="1">
        <v>0.44136613327000002</v>
      </c>
      <c r="D15" s="1">
        <v>0.44136613327000002</v>
      </c>
      <c r="E15" s="1">
        <v>0.44136613327000002</v>
      </c>
      <c r="F15" s="1">
        <v>0.44136613327000002</v>
      </c>
      <c r="G15" s="1">
        <v>0.44136613327000002</v>
      </c>
      <c r="H15" s="1">
        <v>0.42149808932400001</v>
      </c>
      <c r="I15" s="1">
        <v>0.44136613327000002</v>
      </c>
      <c r="J15" s="1">
        <v>0.44136613327000002</v>
      </c>
      <c r="K15" s="1">
        <v>0.44136613326999991</v>
      </c>
      <c r="L15" s="1">
        <v>0</v>
      </c>
      <c r="M15" s="1">
        <v>0</v>
      </c>
      <c r="N15" s="1">
        <v>0</v>
      </c>
      <c r="O15" s="1">
        <v>0.44136613326999991</v>
      </c>
      <c r="P15" s="1">
        <v>0</v>
      </c>
      <c r="Q15" s="1">
        <v>0.44136613326999991</v>
      </c>
      <c r="R15" s="1">
        <v>0</v>
      </c>
      <c r="S15" s="1">
        <v>0</v>
      </c>
      <c r="T15" s="1">
        <v>0.29504866252700002</v>
      </c>
    </row>
    <row r="16" spans="1:20" ht="23.4" x14ac:dyDescent="0.45">
      <c r="A16" s="6" t="s">
        <v>22</v>
      </c>
      <c r="B16" s="1">
        <v>8.5511619011398707</v>
      </c>
      <c r="C16" s="1">
        <v>7.2128630911164207</v>
      </c>
      <c r="D16" s="1">
        <v>5.7748374684955754</v>
      </c>
      <c r="E16" s="1">
        <v>4.8887415326594228</v>
      </c>
      <c r="F16" s="1">
        <v>4.6887268508273143</v>
      </c>
      <c r="G16" s="1">
        <v>7.81030674125246</v>
      </c>
      <c r="H16" s="1">
        <v>22.50229745619156</v>
      </c>
      <c r="I16" s="1">
        <v>8.123691201656845</v>
      </c>
      <c r="J16" s="1">
        <v>8.147926035087723</v>
      </c>
      <c r="K16" s="1">
        <v>9.9770086145631325</v>
      </c>
      <c r="L16" s="1">
        <v>28.606897585605392</v>
      </c>
      <c r="M16" s="1">
        <v>26.149128044102309</v>
      </c>
      <c r="N16" s="1">
        <v>26.14989762830546</v>
      </c>
      <c r="O16" s="1">
        <v>9.2488683591482577</v>
      </c>
      <c r="P16" s="1">
        <v>26.149737123401401</v>
      </c>
      <c r="Q16" s="1">
        <v>12.25364316307058</v>
      </c>
      <c r="R16" s="1">
        <v>31.515533956024651</v>
      </c>
      <c r="S16" s="1">
        <v>26.088940511768978</v>
      </c>
      <c r="T16" s="1">
        <v>26.972443386959512</v>
      </c>
    </row>
    <row r="17" spans="1:20" ht="23.4" x14ac:dyDescent="0.45">
      <c r="A17" s="6" t="s">
        <v>23</v>
      </c>
      <c r="B17" s="1">
        <v>53.379572441055352</v>
      </c>
      <c r="C17" s="1">
        <v>53.379572441055352</v>
      </c>
      <c r="D17" s="1">
        <v>53.379572441055352</v>
      </c>
      <c r="E17" s="1">
        <v>53.379572441055352</v>
      </c>
      <c r="F17" s="1">
        <v>53.379572441055352</v>
      </c>
      <c r="G17" s="1">
        <v>37.061079471670467</v>
      </c>
      <c r="H17" s="1">
        <v>7.2124648520261756</v>
      </c>
      <c r="I17" s="1">
        <v>42.810079235258279</v>
      </c>
      <c r="J17" s="1">
        <v>35.548767153110497</v>
      </c>
      <c r="K17" s="1">
        <v>33.237774751218801</v>
      </c>
      <c r="L17" s="1">
        <v>0</v>
      </c>
      <c r="M17" s="1">
        <v>0</v>
      </c>
      <c r="N17" s="1">
        <v>0</v>
      </c>
      <c r="O17" s="1">
        <v>33.237774751218808</v>
      </c>
      <c r="P17" s="1">
        <v>0</v>
      </c>
      <c r="Q17" s="1">
        <v>33.916096684917143</v>
      </c>
      <c r="R17" s="1">
        <v>0</v>
      </c>
      <c r="S17" s="1">
        <v>0</v>
      </c>
      <c r="T17" s="1">
        <v>7.9605341413921327</v>
      </c>
    </row>
    <row r="18" spans="1:20" ht="23.4" x14ac:dyDescent="0.45">
      <c r="A18" s="6" t="s">
        <v>24</v>
      </c>
      <c r="B18" s="1">
        <v>61.930734342195223</v>
      </c>
      <c r="C18" s="1">
        <v>60.592435532171777</v>
      </c>
      <c r="D18" s="1">
        <v>59.154409909550928</v>
      </c>
      <c r="E18" s="1">
        <v>58.268313973714783</v>
      </c>
      <c r="F18" s="1">
        <v>58.068299291882667</v>
      </c>
      <c r="G18" s="1">
        <v>44.871386212922928</v>
      </c>
      <c r="H18" s="1">
        <v>29.71476230821774</v>
      </c>
      <c r="I18" s="1">
        <v>50.933770436915133</v>
      </c>
      <c r="J18" s="1">
        <v>43.696693188198232</v>
      </c>
      <c r="K18" s="1">
        <v>43.214783365781933</v>
      </c>
      <c r="L18" s="1">
        <v>28.606897585605392</v>
      </c>
      <c r="M18" s="1">
        <v>26.149128044102309</v>
      </c>
      <c r="N18" s="1">
        <v>26.14989762830546</v>
      </c>
      <c r="O18" s="1">
        <v>42.486643110367069</v>
      </c>
      <c r="P18" s="1">
        <v>26.149737123401401</v>
      </c>
      <c r="Q18" s="1">
        <v>46.169739847987728</v>
      </c>
      <c r="R18" s="1">
        <v>31.515533956024651</v>
      </c>
      <c r="S18" s="1">
        <v>26.088940511768978</v>
      </c>
      <c r="T18" s="1">
        <v>34.932977528351643</v>
      </c>
    </row>
    <row r="19" spans="1:20" ht="23.4" x14ac:dyDescent="0.45">
      <c r="A19" s="6" t="s">
        <v>38</v>
      </c>
      <c r="B19" s="1">
        <f>((B5-B7)/B5)*100</f>
        <v>32.867774542209673</v>
      </c>
      <c r="C19" s="1">
        <v>43.374297337949351</v>
      </c>
      <c r="D19" s="1">
        <v>54.663740974724988</v>
      </c>
      <c r="E19" s="1">
        <v>61.620174828919133</v>
      </c>
      <c r="F19" s="1">
        <v>63.190421173317233</v>
      </c>
      <c r="G19" s="1">
        <v>38.683973112663487</v>
      </c>
      <c r="H19" s="1">
        <v>-76.65778330614306</v>
      </c>
      <c r="I19" s="1">
        <v>36.22369970256343</v>
      </c>
      <c r="J19" s="1">
        <v>36.033440376331193</v>
      </c>
      <c r="K19" s="1">
        <v>21.673943324837889</v>
      </c>
      <c r="L19" s="1">
        <v>-124.58289535002061</v>
      </c>
      <c r="M19" s="1">
        <v>-105.2877935976516</v>
      </c>
      <c r="N19" s="1">
        <v>-105.29383533804101</v>
      </c>
      <c r="O19" s="1">
        <v>27.390321561681748</v>
      </c>
      <c r="P19" s="1">
        <v>-105.2925752693473</v>
      </c>
      <c r="Q19" s="1">
        <v>3.8008699855266559</v>
      </c>
      <c r="R19" s="1">
        <v>-147.41759721289691</v>
      </c>
      <c r="S19" s="1">
        <v>-104.815282021206</v>
      </c>
      <c r="T19" s="1">
        <v>-111.75135864980901</v>
      </c>
    </row>
    <row r="20" spans="1:20" ht="23.4" x14ac:dyDescent="0.45">
      <c r="A20" s="6" t="s">
        <v>39</v>
      </c>
      <c r="B20" s="5">
        <f>((B6-B8)/B6)*100</f>
        <v>0</v>
      </c>
      <c r="C20" s="5">
        <f t="shared" ref="C20:T20" si="15">((C6-C8)/C6)*100</f>
        <v>0</v>
      </c>
      <c r="D20" s="5">
        <f t="shared" si="15"/>
        <v>0</v>
      </c>
      <c r="E20" s="5">
        <f t="shared" si="15"/>
        <v>0</v>
      </c>
      <c r="F20" s="5">
        <f t="shared" si="15"/>
        <v>0</v>
      </c>
      <c r="G20" s="5">
        <f t="shared" si="15"/>
        <v>30.570670058110078</v>
      </c>
      <c r="H20" s="5">
        <f t="shared" si="15"/>
        <v>86.488342783204985</v>
      </c>
      <c r="I20" s="5">
        <f t="shared" si="15"/>
        <v>19.800632943376375</v>
      </c>
      <c r="J20" s="5">
        <f t="shared" si="15"/>
        <v>33.403799379687023</v>
      </c>
      <c r="K20" s="5">
        <f t="shared" si="15"/>
        <v>37.732418906747107</v>
      </c>
      <c r="L20" s="5">
        <f t="shared" si="15"/>
        <v>100</v>
      </c>
      <c r="M20" s="5">
        <f t="shared" si="15"/>
        <v>100</v>
      </c>
      <c r="N20" s="5">
        <f t="shared" si="15"/>
        <v>100</v>
      </c>
      <c r="O20" s="5">
        <f t="shared" si="15"/>
        <v>37.732418906747107</v>
      </c>
      <c r="P20" s="5">
        <f t="shared" si="15"/>
        <v>100</v>
      </c>
      <c r="Q20" s="5">
        <f t="shared" si="15"/>
        <v>37.732418906747107</v>
      </c>
      <c r="R20" s="5">
        <f t="shared" si="15"/>
        <v>100</v>
      </c>
      <c r="S20" s="5">
        <f t="shared" si="15"/>
        <v>100</v>
      </c>
      <c r="T20" s="5">
        <f t="shared" si="15"/>
        <v>85.3850161532539</v>
      </c>
    </row>
    <row r="21" spans="1:20" ht="23.4" x14ac:dyDescent="0.45">
      <c r="A21" s="6" t="s">
        <v>40</v>
      </c>
      <c r="B21" s="1">
        <f>(((B5-B7)+(B6-B8))/(B5+B6))*100</f>
        <v>4.0661307934101139</v>
      </c>
      <c r="C21" s="1">
        <f t="shared" ref="C21:T21" si="16">(((C5-C7)+(C6-C8))/(C5+C6))*100</f>
        <v>5.365911398165057</v>
      </c>
      <c r="D21" s="1">
        <f t="shared" si="16"/>
        <v>6.7625485313853124</v>
      </c>
      <c r="E21" s="1">
        <f t="shared" si="16"/>
        <v>7.6231413248077526</v>
      </c>
      <c r="F21" s="1">
        <f t="shared" si="16"/>
        <v>7.8173992903416627</v>
      </c>
      <c r="G21" s="1">
        <f t="shared" si="16"/>
        <v>31.574381196021832</v>
      </c>
      <c r="H21" s="1">
        <f t="shared" si="16"/>
        <v>66.305245620190647</v>
      </c>
      <c r="I21" s="1">
        <f t="shared" si="16"/>
        <v>21.832359715324444</v>
      </c>
      <c r="J21" s="1">
        <f t="shared" si="16"/>
        <v>33.729116940154555</v>
      </c>
      <c r="K21" s="1">
        <f t="shared" si="16"/>
        <v>35.745775731357035</v>
      </c>
      <c r="L21" s="1">
        <f t="shared" si="16"/>
        <v>72.216162481880147</v>
      </c>
      <c r="M21" s="1">
        <f t="shared" si="16"/>
        <v>74.603218589371721</v>
      </c>
      <c r="N21" s="1">
        <f t="shared" si="16"/>
        <v>74.602471147172068</v>
      </c>
      <c r="O21" s="1">
        <f t="shared" si="16"/>
        <v>36.452966383062972</v>
      </c>
      <c r="P21" s="1">
        <f t="shared" si="16"/>
        <v>74.602627034127707</v>
      </c>
      <c r="Q21" s="1">
        <f t="shared" si="16"/>
        <v>33.534643112219136</v>
      </c>
      <c r="R21" s="1">
        <f t="shared" si="16"/>
        <v>69.39121160864434</v>
      </c>
      <c r="S21" s="1">
        <f t="shared" si="16"/>
        <v>74.66167444303295</v>
      </c>
      <c r="T21" s="1">
        <f t="shared" si="16"/>
        <v>60.996671716323135</v>
      </c>
    </row>
    <row r="22" spans="1:20" ht="23.4" x14ac:dyDescent="0.45">
      <c r="A22" s="6" t="s">
        <v>25</v>
      </c>
      <c r="B22" s="1">
        <f t="shared" ref="B22:T22" si="17">((B3-B9-B4)/B3)*100</f>
        <v>78.674120919899707</v>
      </c>
      <c r="C22" s="1">
        <f t="shared" si="17"/>
        <v>47.671452651595793</v>
      </c>
      <c r="D22" s="1">
        <f t="shared" si="17"/>
        <v>60.708382912745677</v>
      </c>
      <c r="E22" s="1">
        <f t="shared" si="17"/>
        <v>68.641444609577306</v>
      </c>
      <c r="F22" s="1">
        <f t="shared" si="17"/>
        <v>70.458216904136222</v>
      </c>
      <c r="G22" s="1">
        <f t="shared" si="17"/>
        <v>94.123217130212538</v>
      </c>
      <c r="H22" s="1">
        <f t="shared" si="17"/>
        <v>93.7073792285791</v>
      </c>
      <c r="I22" s="1">
        <f t="shared" si="17"/>
        <v>99.429685073255797</v>
      </c>
      <c r="J22" s="1">
        <f t="shared" si="17"/>
        <v>95.359780325624229</v>
      </c>
      <c r="K22" s="1">
        <f t="shared" si="17"/>
        <v>88.660067024991818</v>
      </c>
      <c r="L22" s="1">
        <f t="shared" si="17"/>
        <v>74.971186237975957</v>
      </c>
      <c r="M22" s="1">
        <f t="shared" si="17"/>
        <v>96.578484700415018</v>
      </c>
      <c r="N22" s="1">
        <f t="shared" si="17"/>
        <v>96.856360553908218</v>
      </c>
      <c r="O22" s="1">
        <f t="shared" si="17"/>
        <v>94.601383596053751</v>
      </c>
      <c r="P22" s="1">
        <f t="shared" si="17"/>
        <v>93.84801024742687</v>
      </c>
      <c r="Q22" s="1">
        <f t="shared" si="17"/>
        <v>76.628664337712138</v>
      </c>
      <c r="R22" s="1">
        <f t="shared" si="17"/>
        <v>59.874853968437471</v>
      </c>
      <c r="S22" s="1">
        <f t="shared" si="17"/>
        <v>94.132482005851898</v>
      </c>
      <c r="T22" s="1">
        <f t="shared" si="17"/>
        <v>62.722744287036761</v>
      </c>
    </row>
    <row r="32" spans="1:20" x14ac:dyDescent="0.3">
      <c r="N32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Confronto Scenari Energetici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PINTO</cp:lastModifiedBy>
  <dcterms:created xsi:type="dcterms:W3CDTF">2025-11-12T21:04:18Z</dcterms:created>
  <dcterms:modified xsi:type="dcterms:W3CDTF">2025-11-13T18:55:12Z</dcterms:modified>
</cp:coreProperties>
</file>